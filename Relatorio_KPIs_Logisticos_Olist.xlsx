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Performance por UF" sheetId="2" state="visible" r:id="rId2"/>
    <sheet name="SLA e Avalia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 &quot;dias&quot;"/>
    <numFmt numFmtId="166" formatCode="&quot;R$&quot; #,##0.00"/>
    <numFmt numFmtId="167" formatCode="0.00 &quot;★&quot;"/>
    <numFmt numFmtId="168" formatCode="0.0"/>
    <numFmt numFmtId="169" formatCode="+0.0;-0.0;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0E1FD"/>
      <sz val="11"/>
    </font>
    <font>
      <name val="Calibri"/>
      <b val="1"/>
      <color rgb="001B365D"/>
      <sz val="13"/>
    </font>
    <font>
      <name val="Calibri"/>
      <b val="1"/>
      <color rgb="00555555"/>
      <sz val="10"/>
    </font>
    <font>
      <name val="Calibri"/>
      <b val="1"/>
      <color rgb="001B365D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900C3F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2B5B84"/>
        <bgColor rgb="002B5B84"/>
      </patternFill>
    </fill>
    <fill>
      <patternFill patternType="solid">
        <fgColor rgb="00FADBD8"/>
        <bgColor rgb="00FADBD8"/>
      </patternFill>
    </fill>
    <fill>
      <patternFill patternType="solid">
        <fgColor rgb="00D4EFDF"/>
        <bgColor rgb="00D4EFDF"/>
      </patternFill>
    </fill>
  </fills>
  <borders count="9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thin">
        <color rgb="001B365D"/>
      </top>
    </border>
    <border>
      <left style="thin">
        <color rgb="001B365D"/>
      </left>
      <right style="thin">
        <color rgb="001B365D"/>
      </right>
      <bottom style="thin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3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167" fontId="5" fillId="3" borderId="2" applyAlignment="1" pivotButton="0" quotePrefix="0" xfId="0">
      <alignment horizontal="center" vertical="center"/>
    </xf>
    <xf numFmtId="0" fontId="6" fillId="4" borderId="0" pivotButton="0" quotePrefix="0" xfId="0"/>
    <xf numFmtId="0" fontId="7" fillId="0" borderId="3" applyAlignment="1" pivotButton="0" quotePrefix="0" xfId="0">
      <alignment vertical="top"/>
    </xf>
    <xf numFmtId="0" fontId="8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6" fillId="4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/>
    </xf>
    <xf numFmtId="3" fontId="8" fillId="0" borderId="3" applyAlignment="1" pivotButton="0" quotePrefix="0" xfId="0">
      <alignment horizontal="right"/>
    </xf>
    <xf numFmtId="168" fontId="8" fillId="0" borderId="3" applyAlignment="1" pivotButton="0" quotePrefix="0" xfId="0">
      <alignment horizontal="right"/>
    </xf>
    <xf numFmtId="166" fontId="8" fillId="0" borderId="3" applyAlignment="1" pivotButton="0" quotePrefix="0" xfId="0">
      <alignment horizontal="right"/>
    </xf>
    <xf numFmtId="164" fontId="8" fillId="0" borderId="3" applyAlignment="1" pivotButton="0" quotePrefix="0" xfId="0">
      <alignment horizontal="right"/>
    </xf>
    <xf numFmtId="2" fontId="8" fillId="0" borderId="3" applyAlignment="1" pivotButton="0" quotePrefix="0" xfId="0">
      <alignment horizontal="right"/>
    </xf>
    <xf numFmtId="164" fontId="9" fillId="5" borderId="3" applyAlignment="1" pivotButton="0" quotePrefix="0" xfId="0">
      <alignment horizontal="right"/>
    </xf>
    <xf numFmtId="0" fontId="7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7" fillId="0" borderId="8" pivotButton="0" quotePrefix="0" xfId="0"/>
    <xf numFmtId="168" fontId="7" fillId="0" borderId="8" pivotButton="0" quotePrefix="0" xfId="0"/>
    <xf numFmtId="166" fontId="7" fillId="0" borderId="8" pivotButton="0" quotePrefix="0" xfId="0"/>
    <xf numFmtId="164" fontId="7" fillId="0" borderId="8" pivotButton="0" quotePrefix="0" xfId="0"/>
    <xf numFmtId="2" fontId="7" fillId="0" borderId="8" pivotButton="0" quotePrefix="0" xfId="0"/>
    <xf numFmtId="0" fontId="7" fillId="6" borderId="3" applyAlignment="1" pivotButton="0" quotePrefix="0" xfId="0">
      <alignment horizontal="left"/>
    </xf>
    <xf numFmtId="169" fontId="8" fillId="0" borderId="3" applyAlignment="1" pivotButton="0" quotePrefix="0" xfId="0">
      <alignment horizontal="right"/>
    </xf>
    <xf numFmtId="0" fontId="7" fillId="5" borderId="3" applyAlignment="1" pivotButton="0" quotePrefix="0" xfId="0">
      <alignment horizontal="left"/>
    </xf>
    <xf numFmtId="0" fontId="7" fillId="0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25" customWidth="1" min="4" max="4"/>
    <col width="18" customWidth="1" min="5" max="5"/>
    <col width="25" customWidth="1" min="6" max="6"/>
    <col width="18" customWidth="1" min="7" max="7"/>
  </cols>
  <sheetData>
    <row r="1">
      <c r="A1" s="1" t="inlineStr">
        <is>
          <t>RELATÓRIO EXECUTIVO DE PERFORMANCE LOGÍSTICA &amp; SLA</t>
        </is>
      </c>
    </row>
    <row r="2"/>
    <row r="3">
      <c r="A3" s="2" t="inlineStr">
        <is>
          <t>Consolidado de Indicadores Operacionais, Nível de Serviço e Satisfação do Cliente (Olist Dataset)</t>
        </is>
      </c>
    </row>
    <row r="4"/>
    <row r="5">
      <c r="A5" s="3" t="inlineStr">
        <is>
          <t>1. Visão Geral dos Principais Indicadores</t>
        </is>
      </c>
    </row>
    <row r="6"/>
    <row r="7">
      <c r="B7" s="4" t="inlineStr">
        <is>
          <t>Total Pedidos Entregues</t>
        </is>
      </c>
      <c r="D7" s="4" t="inlineStr">
        <is>
          <t>Cumprimento de SLA (No Prazo)</t>
        </is>
      </c>
      <c r="F7" s="4" t="inlineStr">
        <is>
          <t>Taxa de Atraso Operacional</t>
        </is>
      </c>
    </row>
    <row r="8">
      <c r="B8" s="5" t="n">
        <v>96478</v>
      </c>
      <c r="D8" s="6" t="n">
        <v>0.919</v>
      </c>
      <c r="F8" s="6" t="n">
        <v>0.081</v>
      </c>
    </row>
    <row r="9"/>
    <row r="10">
      <c r="B10" s="4" t="inlineStr">
        <is>
          <t>Lead Time Médio Real</t>
        </is>
      </c>
      <c r="D10" s="4" t="inlineStr">
        <is>
          <t>Frete Médio por Item</t>
        </is>
      </c>
      <c r="F10" s="4" t="inlineStr">
        <is>
          <t>Satisfação Média (NPS Proxy)</t>
        </is>
      </c>
    </row>
    <row r="11">
      <c r="B11" s="7" t="n">
        <v>12.5</v>
      </c>
      <c r="D11" s="8" t="n">
        <v>20.03</v>
      </c>
      <c r="F11" s="9" t="n">
        <v>4.15</v>
      </c>
    </row>
    <row r="12"/>
    <row r="13"/>
    <row r="14">
      <c r="A14" s="3" t="inlineStr">
        <is>
          <t>2. Principais Diagnósticos e Recomendações Estratégicas</t>
        </is>
      </c>
    </row>
    <row r="15"/>
    <row r="16">
      <c r="A16" s="10" t="inlineStr">
        <is>
          <t>Área Focal</t>
        </is>
      </c>
      <c r="B16" s="10" t="inlineStr">
        <is>
          <t>Diagnóstico / Ação Recomendada</t>
        </is>
      </c>
    </row>
    <row r="17">
      <c r="A17" s="11" t="inlineStr">
        <is>
          <t>Impacto Crítico do SLA</t>
        </is>
      </c>
      <c r="B17" s="12" t="inlineStr">
        <is>
          <t>Entregas dentro do prazo mantêm nota média de ~4.25 estrelas. Quando há atraso, a avaliação desaba para ~2.55 estrelas (queda de 40%), provando que pontualidade é o principal driver de CSAT/NPS.</t>
        </is>
      </c>
      <c r="C17" s="13" t="n"/>
      <c r="D17" s="13" t="n"/>
      <c r="E17" s="13" t="n"/>
      <c r="F17" s="13" t="n"/>
      <c r="G17" s="14" t="n"/>
    </row>
    <row r="18">
      <c r="A18" s="11" t="inlineStr">
        <is>
          <t>Disparidade Regional</t>
        </is>
      </c>
      <c r="B18" s="12" t="inlineStr">
        <is>
          <t>Regiões Sul e Sudeste concentram 75%+ da demanda com Lead Time de 8 a 13 dias. Norte e Nordeste apresentam Lead Times de 24 a 30 dias e fretes até 2x mais caros.</t>
        </is>
      </c>
      <c r="C18" s="13" t="n"/>
      <c r="D18" s="13" t="n"/>
      <c r="E18" s="13" t="n"/>
      <c r="F18" s="13" t="n"/>
      <c r="G18" s="14" t="n"/>
    </row>
    <row r="19">
      <c r="A19" s="11" t="inlineStr">
        <is>
          <t>Oportunidades de Eficiência</t>
        </is>
      </c>
      <c r="B19" s="12" t="inlineStr">
        <is>
          <t>Implementação de Fulfillment descentralizado ou parcerias regionais com transportadoras nas regiões Norte/Nordeste para mitigar os estouros de SLA e fretes desproporcionais.</t>
        </is>
      </c>
      <c r="C19" s="13" t="n"/>
      <c r="D19" s="13" t="n"/>
      <c r="E19" s="13" t="n"/>
      <c r="F19" s="13" t="n"/>
      <c r="G19" s="14" t="n"/>
    </row>
  </sheetData>
  <mergeCells count="6">
    <mergeCell ref="B16:G16"/>
    <mergeCell ref="B19:G19"/>
    <mergeCell ref="A1:G2"/>
    <mergeCell ref="A3:G3"/>
    <mergeCell ref="B17:G17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26" customWidth="1" min="3" max="3"/>
    <col width="26" customWidth="1" min="4" max="4"/>
    <col width="20" customWidth="1" min="5" max="5"/>
    <col width="22" customWidth="1" min="6" max="6"/>
    <col width="25" customWidth="1" min="7" max="7"/>
  </cols>
  <sheetData>
    <row r="1">
      <c r="A1" s="1" t="inlineStr">
        <is>
          <t>PERFORMANCE LOGÍSTICA POR ESTADO (UF)</t>
        </is>
      </c>
    </row>
    <row r="2"/>
    <row r="3"/>
    <row r="4">
      <c r="A4" s="15" t="inlineStr">
        <is>
          <t>UF</t>
        </is>
      </c>
      <c r="B4" s="15" t="inlineStr">
        <is>
          <t>Região</t>
        </is>
      </c>
      <c r="C4" s="15" t="inlineStr">
        <is>
          <t>Total de Itens/Pedidos</t>
        </is>
      </c>
      <c r="D4" s="15" t="inlineStr">
        <is>
          <t>Lead Time Médio (Dias)</t>
        </is>
      </c>
      <c r="E4" s="15" t="inlineStr">
        <is>
          <t>Frete Médio (R$)</t>
        </is>
      </c>
      <c r="F4" s="15" t="inlineStr">
        <is>
          <t>Taxa de Atraso (%)</t>
        </is>
      </c>
      <c r="G4" s="15" t="inlineStr">
        <is>
          <t>Avaliação Média (1-5)</t>
        </is>
      </c>
    </row>
    <row r="5">
      <c r="A5" s="16" t="inlineStr">
        <is>
          <t>SP</t>
        </is>
      </c>
      <c r="B5" s="16" t="inlineStr">
        <is>
          <t>Sudeste</t>
        </is>
      </c>
      <c r="C5" s="17" t="n">
        <v>47449</v>
      </c>
      <c r="D5" s="18" t="n">
        <v>8.699999999999999</v>
      </c>
      <c r="E5" s="19" t="n">
        <v>15.32</v>
      </c>
      <c r="F5" s="20" t="n">
        <v>0.054</v>
      </c>
      <c r="G5" s="21" t="n">
        <v>4.22</v>
      </c>
    </row>
    <row r="6">
      <c r="A6" s="16" t="inlineStr">
        <is>
          <t>RJ</t>
        </is>
      </c>
      <c r="B6" s="16" t="inlineStr">
        <is>
          <t>Sudeste</t>
        </is>
      </c>
      <c r="C6" s="17" t="n">
        <v>14587</v>
      </c>
      <c r="D6" s="18" t="n">
        <v>14.8</v>
      </c>
      <c r="E6" s="19" t="n">
        <v>20.89</v>
      </c>
      <c r="F6" s="20" t="n">
        <v>0.118</v>
      </c>
      <c r="G6" s="21" t="n">
        <v>3.92</v>
      </c>
    </row>
    <row r="7">
      <c r="A7" s="16" t="inlineStr">
        <is>
          <t>MG</t>
        </is>
      </c>
      <c r="B7" s="16" t="inlineStr">
        <is>
          <t>Sudeste</t>
        </is>
      </c>
      <c r="C7" s="17" t="n">
        <v>13129</v>
      </c>
      <c r="D7" s="18" t="n">
        <v>11.9</v>
      </c>
      <c r="E7" s="19" t="n">
        <v>20.45</v>
      </c>
      <c r="F7" s="20" t="n">
        <v>0.07099999999999999</v>
      </c>
      <c r="G7" s="21" t="n">
        <v>4.18</v>
      </c>
    </row>
    <row r="8">
      <c r="A8" s="16" t="inlineStr">
        <is>
          <t>RS</t>
        </is>
      </c>
      <c r="B8" s="16" t="inlineStr">
        <is>
          <t>Sul</t>
        </is>
      </c>
      <c r="C8" s="17" t="n">
        <v>6235</v>
      </c>
      <c r="D8" s="18" t="n">
        <v>14.5</v>
      </c>
      <c r="E8" s="19" t="n">
        <v>21.65</v>
      </c>
      <c r="F8" s="20" t="n">
        <v>0.074</v>
      </c>
      <c r="G8" s="21" t="n">
        <v>4.16</v>
      </c>
    </row>
    <row r="9">
      <c r="A9" s="16" t="inlineStr">
        <is>
          <t>PR</t>
        </is>
      </c>
      <c r="B9" s="16" t="inlineStr">
        <is>
          <t>Sul</t>
        </is>
      </c>
      <c r="C9" s="17" t="n">
        <v>5740</v>
      </c>
      <c r="D9" s="18" t="n">
        <v>11.8</v>
      </c>
      <c r="E9" s="19" t="n">
        <v>20.42</v>
      </c>
      <c r="F9" s="20" t="n">
        <v>0.059</v>
      </c>
      <c r="G9" s="21" t="n">
        <v>4.21</v>
      </c>
    </row>
    <row r="10">
      <c r="A10" s="16" t="inlineStr">
        <is>
          <t>SC</t>
        </is>
      </c>
      <c r="B10" s="16" t="inlineStr">
        <is>
          <t>Sul</t>
        </is>
      </c>
      <c r="C10" s="17" t="n">
        <v>4176</v>
      </c>
      <c r="D10" s="18" t="n">
        <v>14.3</v>
      </c>
      <c r="E10" s="19" t="n">
        <v>21.34</v>
      </c>
      <c r="F10" s="20" t="n">
        <v>0.07199999999999999</v>
      </c>
      <c r="G10" s="21" t="n">
        <v>4.19</v>
      </c>
    </row>
    <row r="11">
      <c r="A11" s="16" t="inlineStr">
        <is>
          <t>BA</t>
        </is>
      </c>
      <c r="B11" s="16" t="inlineStr">
        <is>
          <t>Nordeste</t>
        </is>
      </c>
      <c r="C11" s="17" t="n">
        <v>3799</v>
      </c>
      <c r="D11" s="18" t="n">
        <v>18.5</v>
      </c>
      <c r="E11" s="19" t="n">
        <v>26.24</v>
      </c>
      <c r="F11" s="20" t="n">
        <v>0.134</v>
      </c>
      <c r="G11" s="21" t="n">
        <v>3.91</v>
      </c>
    </row>
    <row r="12">
      <c r="A12" s="16" t="inlineStr">
        <is>
          <t>DF</t>
        </is>
      </c>
      <c r="B12" s="16" t="inlineStr">
        <is>
          <t>Centro-Oeste</t>
        </is>
      </c>
      <c r="C12" s="17" t="n">
        <v>2406</v>
      </c>
      <c r="D12" s="18" t="n">
        <v>12.7</v>
      </c>
      <c r="E12" s="19" t="n">
        <v>20.91</v>
      </c>
      <c r="F12" s="20" t="n">
        <v>0.068</v>
      </c>
      <c r="G12" s="21" t="n">
        <v>4.13</v>
      </c>
    </row>
    <row r="13">
      <c r="A13" s="16" t="inlineStr">
        <is>
          <t>ES</t>
        </is>
      </c>
      <c r="B13" s="16" t="inlineStr">
        <is>
          <t>Sudeste</t>
        </is>
      </c>
      <c r="C13" s="17" t="n">
        <v>2256</v>
      </c>
      <c r="D13" s="18" t="n">
        <v>15.1</v>
      </c>
      <c r="E13" s="19" t="n">
        <v>21.98</v>
      </c>
      <c r="F13" s="20" t="n">
        <v>0.103</v>
      </c>
      <c r="G13" s="21" t="n">
        <v>4.04</v>
      </c>
    </row>
    <row r="14">
      <c r="A14" s="16" t="inlineStr">
        <is>
          <t>GO</t>
        </is>
      </c>
      <c r="B14" s="16" t="inlineStr">
        <is>
          <t>Centro-Oeste</t>
        </is>
      </c>
      <c r="C14" s="17" t="n">
        <v>2244</v>
      </c>
      <c r="D14" s="18" t="n">
        <v>15.1</v>
      </c>
      <c r="E14" s="19" t="n">
        <v>22.61</v>
      </c>
      <c r="F14" s="20" t="n">
        <v>0.083</v>
      </c>
      <c r="G14" s="21" t="n">
        <v>4.09</v>
      </c>
    </row>
    <row r="15">
      <c r="A15" s="16" t="inlineStr">
        <is>
          <t>PE</t>
        </is>
      </c>
      <c r="B15" s="16" t="inlineStr">
        <is>
          <t>Nordeste</t>
        </is>
      </c>
      <c r="C15" s="17" t="n">
        <v>1814</v>
      </c>
      <c r="D15" s="18" t="n">
        <v>21.4</v>
      </c>
      <c r="E15" s="19" t="n">
        <v>32.74</v>
      </c>
      <c r="F15" s="20" t="n">
        <v>0.141</v>
      </c>
      <c r="G15" s="21" t="n">
        <v>3.98</v>
      </c>
    </row>
    <row r="16">
      <c r="A16" s="16" t="inlineStr">
        <is>
          <t>CE</t>
        </is>
      </c>
      <c r="B16" s="16" t="inlineStr">
        <is>
          <t>Nordeste</t>
        </is>
      </c>
      <c r="C16" s="17" t="n">
        <v>1478</v>
      </c>
      <c r="D16" s="18" t="n">
        <v>20.8</v>
      </c>
      <c r="E16" s="19" t="n">
        <v>32.61</v>
      </c>
      <c r="F16" s="20" t="n">
        <v>0.145</v>
      </c>
      <c r="G16" s="21" t="n">
        <v>3.91</v>
      </c>
    </row>
    <row r="17">
      <c r="A17" s="16" t="inlineStr">
        <is>
          <t>PA</t>
        </is>
      </c>
      <c r="B17" s="16" t="inlineStr">
        <is>
          <t>Norte</t>
        </is>
      </c>
      <c r="C17" s="17" t="n">
        <v>1080</v>
      </c>
      <c r="D17" s="18" t="n">
        <v>23.3</v>
      </c>
      <c r="E17" s="19" t="n">
        <v>35.68</v>
      </c>
      <c r="F17" s="22" t="n">
        <v>0.158</v>
      </c>
      <c r="G17" s="21" t="n">
        <v>3.86</v>
      </c>
    </row>
    <row r="18">
      <c r="A18" s="16" t="inlineStr">
        <is>
          <t>MT</t>
        </is>
      </c>
      <c r="B18" s="16" t="inlineStr">
        <is>
          <t>Centro-Oeste</t>
        </is>
      </c>
      <c r="C18" s="17" t="n">
        <v>1055</v>
      </c>
      <c r="D18" s="18" t="n">
        <v>17.5</v>
      </c>
      <c r="E18" s="19" t="n">
        <v>28.02</v>
      </c>
      <c r="F18" s="20" t="n">
        <v>0.089</v>
      </c>
      <c r="G18" s="21" t="n">
        <v>4.1</v>
      </c>
    </row>
    <row r="19">
      <c r="A19" s="16" t="inlineStr">
        <is>
          <t>MA</t>
        </is>
      </c>
      <c r="B19" s="16" t="inlineStr">
        <is>
          <t>Nordeste</t>
        </is>
      </c>
      <c r="C19" s="17" t="n">
        <v>817</v>
      </c>
      <c r="D19" s="18" t="n">
        <v>21.1</v>
      </c>
      <c r="E19" s="19" t="n">
        <v>38.12</v>
      </c>
      <c r="F19" s="22" t="n">
        <v>0.176</v>
      </c>
      <c r="G19" s="21" t="n">
        <v>3.79</v>
      </c>
    </row>
    <row r="20">
      <c r="A20" s="16" t="inlineStr">
        <is>
          <t>MS</t>
        </is>
      </c>
      <c r="B20" s="16" t="inlineStr">
        <is>
          <t>Centro-Oeste</t>
        </is>
      </c>
      <c r="C20" s="17" t="n">
        <v>807</v>
      </c>
      <c r="D20" s="18" t="n">
        <v>14.9</v>
      </c>
      <c r="E20" s="19" t="n">
        <v>23.27</v>
      </c>
      <c r="F20" s="20" t="n">
        <v>0.082</v>
      </c>
      <c r="G20" s="21" t="n">
        <v>4.12</v>
      </c>
    </row>
    <row r="21">
      <c r="A21" s="16" t="inlineStr">
        <is>
          <t>PB</t>
        </is>
      </c>
      <c r="B21" s="16" t="inlineStr">
        <is>
          <t>Nordeste</t>
        </is>
      </c>
      <c r="C21" s="17" t="n">
        <v>602</v>
      </c>
      <c r="D21" s="18" t="n">
        <v>22.8</v>
      </c>
      <c r="E21" s="19" t="n">
        <v>42.5</v>
      </c>
      <c r="F21" s="22" t="n">
        <v>0.164</v>
      </c>
      <c r="G21" s="21" t="n">
        <v>4.01</v>
      </c>
    </row>
    <row r="22">
      <c r="A22" s="16" t="inlineStr">
        <is>
          <t>PI</t>
        </is>
      </c>
      <c r="B22" s="16" t="inlineStr">
        <is>
          <t>Nordeste</t>
        </is>
      </c>
      <c r="C22" s="17" t="n">
        <v>542</v>
      </c>
      <c r="D22" s="18" t="n">
        <v>22.4</v>
      </c>
      <c r="E22" s="19" t="n">
        <v>38.89</v>
      </c>
      <c r="F22" s="22" t="n">
        <v>0.157</v>
      </c>
      <c r="G22" s="21" t="n">
        <v>3.96</v>
      </c>
    </row>
    <row r="23">
      <c r="A23" s="16" t="inlineStr">
        <is>
          <t>RN</t>
        </is>
      </c>
      <c r="B23" s="16" t="inlineStr">
        <is>
          <t>Nordeste</t>
        </is>
      </c>
      <c r="C23" s="17" t="n">
        <v>529</v>
      </c>
      <c r="D23" s="18" t="n">
        <v>22.2</v>
      </c>
      <c r="E23" s="19" t="n">
        <v>35.48</v>
      </c>
      <c r="F23" s="20" t="n">
        <v>0.142</v>
      </c>
      <c r="G23" s="21" t="n">
        <v>4.1</v>
      </c>
    </row>
    <row r="24">
      <c r="A24" s="16" t="inlineStr">
        <is>
          <t>AL</t>
        </is>
      </c>
      <c r="B24" s="16" t="inlineStr">
        <is>
          <t>Nordeste</t>
        </is>
      </c>
      <c r="C24" s="17" t="n">
        <v>444</v>
      </c>
      <c r="D24" s="18" t="n">
        <v>24</v>
      </c>
      <c r="E24" s="19" t="n">
        <v>35.61</v>
      </c>
      <c r="F24" s="22" t="n">
        <v>0.225</v>
      </c>
      <c r="G24" s="21" t="n">
        <v>3.74</v>
      </c>
    </row>
    <row r="25">
      <c r="A25" s="16" t="inlineStr">
        <is>
          <t>SE</t>
        </is>
      </c>
      <c r="B25" s="16" t="inlineStr">
        <is>
          <t>Nordeste</t>
        </is>
      </c>
      <c r="C25" s="17" t="n">
        <v>385</v>
      </c>
      <c r="D25" s="18" t="n">
        <v>23.4</v>
      </c>
      <c r="E25" s="19" t="n">
        <v>36.42</v>
      </c>
      <c r="F25" s="22" t="n">
        <v>0.182</v>
      </c>
      <c r="G25" s="21" t="n">
        <v>3.84</v>
      </c>
    </row>
    <row r="26">
      <c r="A26" s="16" t="inlineStr">
        <is>
          <t>TO</t>
        </is>
      </c>
      <c r="B26" s="16" t="inlineStr">
        <is>
          <t>Norte</t>
        </is>
      </c>
      <c r="C26" s="17" t="n">
        <v>314</v>
      </c>
      <c r="D26" s="18" t="n">
        <v>18.8</v>
      </c>
      <c r="E26" s="19" t="n">
        <v>37.15</v>
      </c>
      <c r="F26" s="20" t="n">
        <v>0.111</v>
      </c>
      <c r="G26" s="21" t="n">
        <v>4.12</v>
      </c>
    </row>
    <row r="27">
      <c r="A27" s="16" t="inlineStr">
        <is>
          <t>RO</t>
        </is>
      </c>
      <c r="B27" s="16" t="inlineStr">
        <is>
          <t>Norte</t>
        </is>
      </c>
      <c r="C27" s="17" t="n">
        <v>278</v>
      </c>
      <c r="D27" s="18" t="n">
        <v>21.9</v>
      </c>
      <c r="E27" s="19" t="n">
        <v>41.02</v>
      </c>
      <c r="F27" s="20" t="n">
        <v>0.101</v>
      </c>
      <c r="G27" s="21" t="n">
        <v>4.08</v>
      </c>
    </row>
    <row r="28">
      <c r="A28" s="16" t="inlineStr">
        <is>
          <t>AM</t>
        </is>
      </c>
      <c r="B28" s="16" t="inlineStr">
        <is>
          <t>Norte</t>
        </is>
      </c>
      <c r="C28" s="17" t="n">
        <v>165</v>
      </c>
      <c r="D28" s="18" t="n">
        <v>26</v>
      </c>
      <c r="E28" s="19" t="n">
        <v>43.84</v>
      </c>
      <c r="F28" s="20" t="n">
        <v>0.127</v>
      </c>
      <c r="G28" s="21" t="n">
        <v>4.15</v>
      </c>
    </row>
    <row r="29">
      <c r="A29" s="16" t="inlineStr">
        <is>
          <t>AC</t>
        </is>
      </c>
      <c r="B29" s="16" t="inlineStr">
        <is>
          <t>Norte</t>
        </is>
      </c>
      <c r="C29" s="17" t="n">
        <v>92</v>
      </c>
      <c r="D29" s="18" t="n">
        <v>20.6</v>
      </c>
      <c r="E29" s="19" t="n">
        <v>40.07</v>
      </c>
      <c r="F29" s="20" t="n">
        <v>0.08699999999999999</v>
      </c>
      <c r="G29" s="21" t="n">
        <v>4.07</v>
      </c>
    </row>
    <row r="30">
      <c r="A30" s="16" t="inlineStr">
        <is>
          <t>AP</t>
        </is>
      </c>
      <c r="B30" s="16" t="inlineStr">
        <is>
          <t>Norte</t>
        </is>
      </c>
      <c r="C30" s="17" t="n">
        <v>82</v>
      </c>
      <c r="D30" s="18" t="n">
        <v>26.7</v>
      </c>
      <c r="E30" s="19" t="n">
        <v>53.84</v>
      </c>
      <c r="F30" s="22" t="n">
        <v>0.183</v>
      </c>
      <c r="G30" s="21" t="n">
        <v>4.19</v>
      </c>
    </row>
    <row r="31">
      <c r="A31" s="16" t="inlineStr">
        <is>
          <t>RR</t>
        </is>
      </c>
      <c r="B31" s="16" t="inlineStr">
        <is>
          <t>Norte</t>
        </is>
      </c>
      <c r="C31" s="17" t="n">
        <v>46</v>
      </c>
      <c r="D31" s="18" t="n">
        <v>28.9</v>
      </c>
      <c r="E31" s="19" t="n">
        <v>43.15</v>
      </c>
      <c r="F31" s="22" t="n">
        <v>0.239</v>
      </c>
      <c r="G31" s="21" t="n">
        <v>3.61</v>
      </c>
    </row>
    <row r="32">
      <c r="A32" s="23" t="inlineStr">
        <is>
          <t>MÉDIA / TOTAL</t>
        </is>
      </c>
      <c r="B32" s="24" t="inlineStr">
        <is>
          <t>-</t>
        </is>
      </c>
      <c r="C32" s="25">
        <f>SUM(C5:C31)</f>
        <v/>
      </c>
      <c r="D32" s="26">
        <f>AVERAGE(D5:D31)</f>
        <v/>
      </c>
      <c r="E32" s="27">
        <f>AVERAGE(E5:E31)</f>
        <v/>
      </c>
      <c r="F32" s="28">
        <f>AVERAGE(F5:F31)</f>
        <v/>
      </c>
      <c r="G32" s="29">
        <f>AVERAGE(G5:G31)</f>
        <v/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20" customWidth="1" min="3" max="3"/>
    <col width="32" customWidth="1" min="4" max="4"/>
    <col width="38" customWidth="1" min="5" max="5"/>
    <col width="22" customWidth="1" min="6" max="6"/>
  </cols>
  <sheetData>
    <row r="1">
      <c r="A1" s="1" t="inlineStr">
        <is>
          <t>IMPACTO DO CUMPRIMENTO DE PRAZO (SLA) NA SATISFAÇÃO</t>
        </is>
      </c>
    </row>
    <row r="2"/>
    <row r="3"/>
    <row r="4">
      <c r="A4" s="15" t="inlineStr">
        <is>
          <t>Status da Entrega (SLA)</t>
        </is>
      </c>
      <c r="B4" s="15" t="inlineStr">
        <is>
          <t>Volume de Pedidos</t>
        </is>
      </c>
      <c r="C4" s="15" t="inlineStr">
        <is>
          <t>Participação (%)</t>
        </is>
      </c>
      <c r="D4" s="15" t="inlineStr">
        <is>
          <t>Lead Time Médio (Dias)</t>
        </is>
      </c>
      <c r="E4" s="15" t="inlineStr">
        <is>
          <t>Dias Médios de Atraso/Adiantamento</t>
        </is>
      </c>
      <c r="F4" s="15" t="inlineStr">
        <is>
          <t>Nota Média (1 a 5)</t>
        </is>
      </c>
    </row>
    <row r="5">
      <c r="A5" s="30" t="inlineStr">
        <is>
          <t>No Prazo (Cumprido)</t>
        </is>
      </c>
      <c r="B5" s="17" t="n">
        <v>103895</v>
      </c>
      <c r="C5" s="20" t="n">
        <v>0.922</v>
      </c>
      <c r="D5" s="18" t="n">
        <v>11.2</v>
      </c>
      <c r="E5" s="31" t="n">
        <v>-12.4</v>
      </c>
      <c r="F5" s="21" t="n">
        <v>4.26</v>
      </c>
    </row>
    <row r="6">
      <c r="A6" s="32" t="inlineStr">
        <is>
          <t>Atrasado (Estourado)</t>
        </is>
      </c>
      <c r="B6" s="17" t="n">
        <v>8755</v>
      </c>
      <c r="C6" s="20" t="n">
        <v>0.078</v>
      </c>
      <c r="D6" s="18" t="n">
        <v>30.7</v>
      </c>
      <c r="E6" s="31" t="n">
        <v>10.8</v>
      </c>
      <c r="F6" s="21" t="n">
        <v>2.55</v>
      </c>
    </row>
    <row r="7"/>
    <row r="8"/>
    <row r="9">
      <c r="A9" s="3" t="inlineStr">
        <is>
          <t>Distribuição de Avaliações por Nota de 1 a 5</t>
        </is>
      </c>
    </row>
    <row r="10"/>
    <row r="11">
      <c r="A11" s="15" t="inlineStr">
        <is>
          <t>Nota (Estrelas)</t>
        </is>
      </c>
      <c r="B11" s="15" t="inlineStr">
        <is>
          <t>Volume de Avaliações</t>
        </is>
      </c>
      <c r="C11" s="15" t="inlineStr">
        <is>
          <t>% do Total</t>
        </is>
      </c>
      <c r="D11" s="15" t="inlineStr">
        <is>
          <t>Status Predominante</t>
        </is>
      </c>
    </row>
    <row r="12">
      <c r="A12" s="33" t="inlineStr">
        <is>
          <t>5 Estrelas ★★★★★</t>
        </is>
      </c>
      <c r="B12" s="17" t="n">
        <v>57328</v>
      </c>
      <c r="C12" s="20" t="n">
        <v>0.578</v>
      </c>
      <c r="D12" s="16" t="inlineStr">
        <is>
          <t>No Prazo (&gt;96%)</t>
        </is>
      </c>
    </row>
    <row r="13">
      <c r="A13" s="33" t="inlineStr">
        <is>
          <t>4 Estrelas ★★★★☆</t>
        </is>
      </c>
      <c r="B13" s="17" t="n">
        <v>19142</v>
      </c>
      <c r="C13" s="20" t="n">
        <v>0.193</v>
      </c>
      <c r="D13" s="16" t="inlineStr">
        <is>
          <t>No Prazo (&gt;94%)</t>
        </is>
      </c>
    </row>
    <row r="14">
      <c r="A14" s="33" t="inlineStr">
        <is>
          <t>3 Estrelas ★★★☆☆</t>
        </is>
      </c>
      <c r="B14" s="17" t="n">
        <v>8179</v>
      </c>
      <c r="C14" s="20" t="n">
        <v>0.082</v>
      </c>
      <c r="D14" s="16" t="inlineStr">
        <is>
          <t>Misto (Pequenos atrasos)</t>
        </is>
      </c>
    </row>
    <row r="15">
      <c r="A15" s="33" t="inlineStr">
        <is>
          <t>2 Estrelas ★★☆☆☆</t>
        </is>
      </c>
      <c r="B15" s="17" t="n">
        <v>3151</v>
      </c>
      <c r="C15" s="20" t="n">
        <v>0.032</v>
      </c>
      <c r="D15" s="16" t="inlineStr">
        <is>
          <t>Atrasos recorrentes</t>
        </is>
      </c>
    </row>
    <row r="16">
      <c r="A16" s="33" t="inlineStr">
        <is>
          <t>1 Estrela  ★☆☆☆☆</t>
        </is>
      </c>
      <c r="B16" s="17" t="n">
        <v>11424</v>
      </c>
      <c r="C16" s="20" t="n">
        <v>0.115</v>
      </c>
      <c r="D16" s="16" t="inlineStr">
        <is>
          <t>Alto índice de atraso (&gt;45%)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2026-08-25T00:05:19Z</dcterms:created>
  <dcterms:modified xsi:type="dcterms:W3CDTF">2026-08-25T00:05:19Z</dcterms:modified>
</cp:coreProperties>
</file>